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<sst xmlns="http://schemas.openxmlformats.org/spreadsheetml/2006/main" count="20" uniqueCount="20">
  <si>
    <t>type</t>
  </si>
  <si>
    <t>model</t>
  </si>
  <si>
    <t>qty</t>
  </si>
  <si>
    <t xml:space="preserve">unit price</t>
  </si>
  <si>
    <t>total</t>
  </si>
  <si>
    <t xml:space="preserve">Shell HW</t>
  </si>
  <si>
    <t xml:space="preserve">3030Q alm. profile bar (europe standard)</t>
  </si>
  <si>
    <t xml:space="preserve">front panel</t>
  </si>
  <si>
    <t xml:space="preserve">mounting hw</t>
  </si>
  <si>
    <t xml:space="preserve">Electronic HW</t>
  </si>
  <si>
    <t xml:space="preserve">Sparkfire Arduino Pro Micro(5v, typec)</t>
  </si>
  <si>
    <t xml:space="preserve">Dupont wire(1-5 for GND expansion)</t>
  </si>
  <si>
    <t>keypad(3*4)</t>
  </si>
  <si>
    <t xml:space="preserve">pn532 module</t>
  </si>
  <si>
    <t xml:space="preserve">32mm key switches</t>
  </si>
  <si>
    <t xml:space="preserve">dupont wire(4.8mm for key switches)</t>
  </si>
  <si>
    <t xml:space="preserve">16mm key switches</t>
  </si>
  <si>
    <t xml:space="preserve">dupont wire(2.8mm for key switches)</t>
  </si>
  <si>
    <t xml:space="preserve">lock switches</t>
  </si>
  <si>
    <t xml:space="preserve">dupont wire (for rest parts)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</si>
</sst>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0" numFmtId="0" xfId="0" applyFont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0" numFmtId="0" xfId="0"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4.28125"/>
    <col customWidth="1" min="2" max="2" width="38.421875"/>
  </cols>
  <sheetData>
    <row r="2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4.25">
      <c r="A3" s="2" t="s">
        <v>5</v>
      </c>
      <c r="B3" t="s">
        <v>6</v>
      </c>
      <c r="C3">
        <v>1</v>
      </c>
      <c r="D3">
        <v>130</v>
      </c>
      <c r="E3">
        <v>130</v>
      </c>
    </row>
    <row r="4" ht="14.25">
      <c r="A4" s="3"/>
      <c r="B4" t="s">
        <v>7</v>
      </c>
      <c r="C4">
        <v>1</v>
      </c>
      <c r="D4">
        <v>150</v>
      </c>
      <c r="E4">
        <v>150</v>
      </c>
    </row>
    <row r="5" ht="14.25">
      <c r="A5" s="3"/>
      <c r="B5" t="s">
        <v>8</v>
      </c>
      <c r="C5">
        <v>1</v>
      </c>
      <c r="D5">
        <f>90.29+18</f>
        <v>108.29000000000001</v>
      </c>
      <c r="E5" s="4">
        <f>90.29+18</f>
        <v>108.29000000000001</v>
      </c>
    </row>
    <row r="6" ht="14.25">
      <c r="A6" s="2" t="s">
        <v>9</v>
      </c>
      <c r="B6" t="s">
        <v>10</v>
      </c>
      <c r="C6">
        <v>2</v>
      </c>
      <c r="D6">
        <v>22.850000000000001</v>
      </c>
      <c r="E6">
        <f>C6*D6</f>
        <v>45.700000000000003</v>
      </c>
    </row>
    <row r="7" ht="14.25">
      <c r="A7" s="3"/>
      <c r="B7" t="s">
        <v>11</v>
      </c>
      <c r="C7">
        <v>2</v>
      </c>
      <c r="D7">
        <v>10.08</v>
      </c>
      <c r="E7">
        <f>C7*D7</f>
        <v>20.16</v>
      </c>
    </row>
    <row r="8" ht="14.25">
      <c r="A8" s="3"/>
      <c r="B8" t="s">
        <v>12</v>
      </c>
      <c r="C8">
        <v>2</v>
      </c>
      <c r="D8">
        <v>7.5999999999999996</v>
      </c>
      <c r="E8">
        <f>C8*D8</f>
        <v>15.199999999999999</v>
      </c>
    </row>
    <row r="9" ht="14.25">
      <c r="A9" s="3"/>
      <c r="B9" t="s">
        <v>13</v>
      </c>
      <c r="C9">
        <v>2</v>
      </c>
      <c r="D9">
        <v>12.24</v>
      </c>
      <c r="E9">
        <f>C9*D9</f>
        <v>24.48</v>
      </c>
    </row>
    <row r="10" ht="14.25">
      <c r="A10" s="3"/>
      <c r="B10" t="s">
        <v>14</v>
      </c>
      <c r="C10">
        <v>10</v>
      </c>
      <c r="D10">
        <v>1.75</v>
      </c>
      <c r="E10">
        <f>C10*D10</f>
        <v>17.5</v>
      </c>
    </row>
    <row r="11" ht="14.25">
      <c r="A11" s="3"/>
      <c r="B11" t="s">
        <v>15</v>
      </c>
      <c r="C11">
        <v>10</v>
      </c>
      <c r="D11">
        <v>0.5</v>
      </c>
      <c r="E11">
        <f>C11*D11</f>
        <v>5</v>
      </c>
    </row>
    <row r="12" ht="14.25">
      <c r="A12" s="3"/>
      <c r="B12" t="s">
        <v>16</v>
      </c>
      <c r="C12">
        <v>2</v>
      </c>
      <c r="D12">
        <v>1.6000000000000001</v>
      </c>
      <c r="E12">
        <f>C12*D12</f>
        <v>3.2000000000000002</v>
      </c>
    </row>
    <row r="13" ht="14.25">
      <c r="A13" s="3"/>
      <c r="B13" s="5" t="s">
        <v>17</v>
      </c>
      <c r="C13">
        <v>2</v>
      </c>
      <c r="D13">
        <v>1</v>
      </c>
      <c r="E13">
        <f>C13*D13</f>
        <v>2</v>
      </c>
    </row>
    <row r="14" ht="14.25">
      <c r="A14" s="3"/>
      <c r="B14" t="s">
        <v>18</v>
      </c>
      <c r="C14">
        <v>1</v>
      </c>
      <c r="D14">
        <v>5</v>
      </c>
      <c r="E14">
        <f>C14*D14</f>
        <v>5</v>
      </c>
    </row>
    <row r="15" ht="14.25">
      <c r="A15" s="3"/>
      <c r="B15" t="s">
        <v>19</v>
      </c>
      <c r="C15">
        <v>1</v>
      </c>
      <c r="D15">
        <v>10</v>
      </c>
      <c r="E15">
        <f>C15*D15</f>
        <v>10</v>
      </c>
    </row>
    <row r="16" ht="14.25">
      <c r="A16" s="3" t="s">
        <v>4</v>
      </c>
      <c r="E16">
        <f>SUM(E3:E15)</f>
        <v>536.53000000000009</v>
      </c>
    </row>
  </sheetData>
  <mergeCells count="2">
    <mergeCell ref="A3:A5"/>
    <mergeCell ref="A6:A1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2025-09-26T02:09:54Z</dcterms:modified>
</cp:coreProperties>
</file>