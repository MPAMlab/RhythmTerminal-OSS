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<sst xmlns="http://schemas.openxmlformats.org/spreadsheetml/2006/main" count="16" uniqueCount="16">
  <si>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长度(mm)</t>
  </si>
  <si>
    <t>数量</t>
  </si>
  <si>
    <t>总长(mm)</t>
  </si>
  <si>
    <t>重量(kg)</t>
  </si>
  <si>
    <t>单价（元/m）</t>
  </si>
  <si>
    <t>总计（元）</t>
  </si>
  <si>
    <t>假设损耗</t>
  </si>
  <si>
    <t>总计-计损耗（元）</t>
  </si>
  <si>
    <t>N/A</t>
  </si>
  <si>
    <t>总计</t>
  </si>
  <si>
    <t>欧标3030Q-喷砂黑</t>
  </si>
  <si>
    <t>两条140的型材上钻两个m8孔</t>
  </si>
  <si>
    <t>距一端位置：</t>
  </si>
  <si>
    <t>14mm</t>
  </si>
  <si>
    <t>85mm</t>
  </si>
  <si>
    <t>下图中红圈处为需要打孔的型材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</si>
</sst>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  <scheme val="minor"/>
    </font>
    <font>
      <sz val="11.000000"/>
      <color theme="1"/>
      <name val="Noto Sans SC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4">
    <xf fontId="0" fillId="0" borderId="0" numFmtId="0" xfId="0" applyAlignment="1">
      <alignment vertical="center"/>
    </xf>
    <xf fontId="1" fillId="0" borderId="0" numFmtId="0" xfId="0" applyFont="1" applyAlignment="1">
      <alignment vertical="center"/>
    </xf>
    <xf fontId="1" fillId="0" borderId="0" numFmtId="0" xfId="0" applyFont="1" applyAlignment="1">
      <alignment horizontal="center" vertical="center"/>
    </xf>
    <xf fontId="1" fillId="0" borderId="0" numFmtId="9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42862</xdr:colOff>
      <xdr:row>26</xdr:row>
      <xdr:rowOff>157161</xdr:rowOff>
    </xdr:from>
    <xdr:to>
      <xdr:col>7</xdr:col>
      <xdr:colOff>61745</xdr:colOff>
      <xdr:row>60</xdr:row>
      <xdr:rowOff>95249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42863" y="6348412"/>
          <a:ext cx="7454802" cy="6510338"/>
        </a:xfrm>
        <a:prstGeom prst="rect">
          <a:avLst/>
        </a:prstGeom>
      </xdr:spPr>
    </xdr:pic>
    <xdr:clientData/>
  </xdr:twoCellAnchor>
  <xdr:twoCellAnchor editAs="twoCell">
    <xdr:from>
      <xdr:col>0</xdr:col>
      <xdr:colOff>247649</xdr:colOff>
      <xdr:row>8</xdr:row>
      <xdr:rowOff>76200</xdr:rowOff>
    </xdr:from>
    <xdr:to>
      <xdr:col>5</xdr:col>
      <xdr:colOff>198383</xdr:colOff>
      <xdr:row>26</xdr:row>
      <xdr:rowOff>95250</xdr:rowOff>
    </xdr:to>
    <xdr:grpSp>
      <xdr:nvGrpSpPr>
        <xdr:cNvPr id="0" name=""/>
        <xdr:cNvGrpSpPr/>
      </xdr:nvGrpSpPr>
      <xdr:grpSpPr bwMode="auto">
        <a:xfrm>
          <a:off x="247650" y="1931504"/>
          <a:ext cx="5342711" cy="4193485"/>
          <a:chOff x="247650" y="1931504"/>
          <a:chExt cx="4845755" cy="4193485"/>
        </a:xfrm>
      </xdr:grpSpPr>
      <xdr:pic>
        <xdr:nvPicPr>
          <xdr:cNvPr id="2" name="图片 1"/>
          <xdr:cNvPicPr>
            <a:picLocks noChangeAspect="1"/>
          </xdr:cNvPicPr>
        </xdr:nvPicPr>
        <xdr:blipFill>
          <a:blip r:embed="rId2"/>
          <a:stretch/>
        </xdr:blipFill>
        <xdr:spPr bwMode="auto">
          <a:xfrm>
            <a:off x="247650" y="1931504"/>
            <a:ext cx="4845755" cy="4193485"/>
          </a:xfrm>
          <a:prstGeom prst="rect">
            <a:avLst/>
          </a:prstGeom>
        </xdr:spPr>
      </xdr:pic>
      <xdr:sp>
        <xdr:nvSpPr>
          <xdr:cNvPr id="4" name="椭圆 3"/>
          <xdr:cNvSpPr/>
        </xdr:nvSpPr>
        <xdr:spPr bwMode="auto">
          <a:xfrm>
            <a:off x="1598544" y="3718891"/>
            <a:ext cx="629477" cy="579783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zh-CN" sz="1100"/>
          </a:p>
        </xdr:txBody>
      </xdr:sp>
      <xdr:sp>
        <xdr:nvSpPr>
          <xdr:cNvPr id="5" name="椭圆 4"/>
          <xdr:cNvSpPr/>
        </xdr:nvSpPr>
        <xdr:spPr bwMode="auto">
          <a:xfrm>
            <a:off x="3233531" y="4641574"/>
            <a:ext cx="629477" cy="579783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>
              <a:defRPr/>
            </a:pPr>
            <a:endParaRPr lang="zh-CN" sz="1100"/>
          </a:p>
        </xdr:txBody>
      </xdr:sp>
    </xdr:grp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5" workbookViewId="0">
      <selection activeCell="H11" activeCellId="0" sqref="H11"/>
    </sheetView>
  </sheetViews>
  <sheetFormatPr defaultRowHeight="15.75"/>
  <cols>
    <col customWidth="1" min="1" max="1" width="29.421875"/>
    <col customWidth="1" min="2" max="2" width="12"/>
    <col customWidth="1" min="3" max="3" width="11.140625"/>
    <col customWidth="1" min="4" max="4" width="10.140625"/>
    <col customWidth="1" min="5" max="5" width="14.00390625"/>
    <col customWidth="1" min="6" max="6" width="12.00390625"/>
    <col customWidth="1" min="7" max="7" width="10.28125"/>
    <col customWidth="1" min="8" max="8" width="17.8515625"/>
  </cols>
  <sheetData>
    <row r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">
      <c r="A2" s="1">
        <v>140</v>
      </c>
      <c r="B2" s="1">
        <v>4</v>
      </c>
      <c r="C2" s="1">
        <f t="shared" ref="C2:C5" si="0">A2*B2</f>
        <v>560</v>
      </c>
      <c r="D2" s="1">
        <f t="shared" ref="D2:D6" si="1">C2/1000*0.8</f>
        <v>0.44800000000000006</v>
      </c>
      <c r="E2" s="2" t="s">
        <v>8</v>
      </c>
      <c r="F2" s="2"/>
      <c r="G2" s="2"/>
      <c r="H2" s="2"/>
    </row>
    <row r="3" ht="18">
      <c r="A3" s="1">
        <v>80</v>
      </c>
      <c r="B3" s="1">
        <v>4</v>
      </c>
      <c r="C3" s="1">
        <f t="shared" si="0"/>
        <v>320</v>
      </c>
      <c r="D3" s="1">
        <f t="shared" si="1"/>
        <v>0.25600000000000001</v>
      </c>
      <c r="E3" s="2"/>
      <c r="F3" s="2"/>
      <c r="G3" s="2"/>
      <c r="H3" s="2"/>
    </row>
    <row r="4" ht="18">
      <c r="A4" s="1">
        <v>160</v>
      </c>
      <c r="B4" s="1">
        <v>6</v>
      </c>
      <c r="C4" s="1">
        <f t="shared" si="0"/>
        <v>960</v>
      </c>
      <c r="D4" s="1">
        <f t="shared" si="1"/>
        <v>0.76800000000000002</v>
      </c>
      <c r="E4" s="2"/>
      <c r="F4" s="2"/>
      <c r="G4" s="2"/>
      <c r="H4" s="2"/>
    </row>
    <row r="5" ht="18">
      <c r="A5" s="1">
        <v>960</v>
      </c>
      <c r="B5" s="1">
        <v>3</v>
      </c>
      <c r="C5" s="1">
        <f t="shared" si="0"/>
        <v>2880</v>
      </c>
      <c r="D5" s="1">
        <f t="shared" si="1"/>
        <v>2.3039999999999998</v>
      </c>
      <c r="E5" s="2"/>
      <c r="F5" s="2"/>
      <c r="G5" s="2"/>
      <c r="H5" s="2"/>
    </row>
    <row r="6" ht="18">
      <c r="A6" s="1" t="s">
        <v>9</v>
      </c>
      <c r="B6" s="1">
        <f>SUM(B2:B5)</f>
        <v>17</v>
      </c>
      <c r="C6" s="1">
        <f>SUM(C2:C5)</f>
        <v>4720</v>
      </c>
      <c r="D6" s="1">
        <f t="shared" si="1"/>
        <v>3.7759999999999998</v>
      </c>
      <c r="E6" s="1">
        <v>19.699999999999999</v>
      </c>
      <c r="F6" s="1">
        <f>C6/1000*19.7</f>
        <v>92.983999999999995</v>
      </c>
      <c r="G6" s="3">
        <v>7.0000000000000007e-002</v>
      </c>
      <c r="H6" s="1">
        <f>F6*(1+G6)</f>
        <v>99.49288</v>
      </c>
    </row>
    <row r="7" ht="18">
      <c r="A7" s="1" t="s">
        <v>10</v>
      </c>
      <c r="B7" s="1"/>
      <c r="C7" s="1"/>
      <c r="D7" s="1"/>
      <c r="E7" s="1"/>
      <c r="F7" s="1"/>
      <c r="G7" s="1"/>
      <c r="H7" s="1"/>
    </row>
    <row r="8" ht="18">
      <c r="A8" s="1" t="s">
        <v>11</v>
      </c>
      <c r="B8" s="1" t="s">
        <v>12</v>
      </c>
      <c r="C8" s="1" t="s">
        <v>13</v>
      </c>
      <c r="D8" s="1" t="s">
        <v>14</v>
      </c>
      <c r="E8" s="2" t="s">
        <v>15</v>
      </c>
      <c r="F8" s="2"/>
      <c r="G8" s="2"/>
      <c r="H8" s="2"/>
    </row>
    <row r="9" ht="18">
      <c r="A9" s="1"/>
      <c r="B9" s="1"/>
      <c r="C9" s="1"/>
      <c r="D9" s="1"/>
      <c r="E9" s="1"/>
      <c r="F9" s="1"/>
      <c r="G9" s="1"/>
      <c r="H9" s="1"/>
    </row>
    <row r="10" ht="18">
      <c r="A10" s="1"/>
      <c r="B10" s="1"/>
      <c r="C10" s="1"/>
      <c r="D10" s="1"/>
      <c r="E10" s="1"/>
      <c r="F10" s="1"/>
      <c r="G10" s="1"/>
      <c r="H10" s="1"/>
    </row>
    <row r="11" ht="18">
      <c r="A11" s="1"/>
      <c r="B11" s="1"/>
      <c r="C11" s="1"/>
      <c r="D11" s="1"/>
      <c r="E11" s="1"/>
      <c r="F11" s="1"/>
      <c r="G11" s="1"/>
      <c r="H11" s="1"/>
    </row>
    <row r="12" ht="18">
      <c r="A12" s="1"/>
      <c r="B12" s="1"/>
      <c r="C12" s="1"/>
      <c r="D12" s="1"/>
      <c r="E12" s="1"/>
      <c r="F12" s="1"/>
      <c r="G12" s="1"/>
      <c r="H12" s="1"/>
    </row>
    <row r="13" ht="18">
      <c r="A13" s="1"/>
      <c r="B13" s="1"/>
      <c r="C13" s="1"/>
      <c r="D13" s="1"/>
      <c r="E13" s="1"/>
      <c r="F13" s="1"/>
      <c r="G13" s="1"/>
      <c r="H13" s="1"/>
    </row>
    <row r="14" ht="18">
      <c r="A14" s="1"/>
      <c r="B14" s="1"/>
      <c r="C14" s="1"/>
      <c r="D14" s="1"/>
      <c r="E14" s="1"/>
      <c r="F14" s="1"/>
      <c r="G14" s="1"/>
      <c r="H14" s="1"/>
    </row>
    <row r="15" ht="18">
      <c r="A15" s="1"/>
      <c r="B15" s="1"/>
      <c r="C15" s="1"/>
      <c r="D15" s="1"/>
      <c r="E15" s="1"/>
      <c r="F15" s="1"/>
      <c r="G15" s="1"/>
      <c r="H15" s="1"/>
    </row>
    <row r="16" ht="18">
      <c r="A16" s="1"/>
      <c r="B16" s="1"/>
      <c r="C16" s="1"/>
      <c r="D16" s="1"/>
      <c r="E16" s="1"/>
      <c r="F16" s="1"/>
      <c r="G16" s="1"/>
      <c r="H16" s="1"/>
    </row>
    <row r="17" ht="18">
      <c r="A17" s="1"/>
      <c r="B17" s="1"/>
      <c r="C17" s="1"/>
      <c r="D17" s="1"/>
      <c r="E17" s="1"/>
      <c r="F17" s="1"/>
      <c r="G17" s="1"/>
      <c r="H17" s="1"/>
    </row>
    <row r="18" ht="18">
      <c r="A18" s="1"/>
      <c r="B18" s="1"/>
      <c r="C18" s="1"/>
      <c r="D18" s="1"/>
      <c r="E18" s="1"/>
      <c r="F18" s="1"/>
      <c r="G18" s="1"/>
      <c r="H18" s="1"/>
    </row>
    <row r="19" ht="18">
      <c r="A19" s="1"/>
      <c r="B19" s="1"/>
      <c r="C19" s="1"/>
      <c r="D19" s="1"/>
      <c r="E19" s="1"/>
      <c r="F19" s="1"/>
      <c r="G19" s="1"/>
      <c r="H19" s="1"/>
    </row>
    <row r="20" ht="18">
      <c r="A20" s="1"/>
      <c r="B20" s="1"/>
      <c r="C20" s="1"/>
      <c r="D20" s="1"/>
      <c r="E20" s="1"/>
      <c r="F20" s="1"/>
      <c r="G20" s="1"/>
      <c r="H20" s="1"/>
    </row>
    <row r="21" ht="18">
      <c r="A21" s="1"/>
      <c r="B21" s="1"/>
      <c r="C21" s="1"/>
      <c r="D21" s="1"/>
      <c r="E21" s="1"/>
      <c r="F21" s="1"/>
      <c r="G21" s="1"/>
      <c r="H21" s="1"/>
    </row>
    <row r="22" ht="18">
      <c r="A22" s="1"/>
      <c r="B22" s="1"/>
      <c r="C22" s="1"/>
      <c r="D22" s="1"/>
      <c r="E22" s="1"/>
      <c r="F22" s="1"/>
      <c r="G22" s="1"/>
      <c r="H22" s="1"/>
    </row>
    <row r="23" ht="18">
      <c r="A23" s="1"/>
      <c r="B23" s="1"/>
      <c r="C23" s="1"/>
      <c r="D23" s="1"/>
      <c r="E23" s="1"/>
      <c r="F23" s="1"/>
      <c r="G23" s="1"/>
      <c r="H23" s="1"/>
    </row>
    <row r="24" ht="18">
      <c r="A24" s="1"/>
      <c r="B24" s="1"/>
      <c r="C24" s="1"/>
      <c r="D24" s="1"/>
      <c r="E24" s="1"/>
      <c r="F24" s="1"/>
      <c r="G24" s="1"/>
      <c r="H24" s="1"/>
    </row>
    <row r="25" ht="18">
      <c r="A25" s="1"/>
      <c r="B25" s="1"/>
      <c r="C25" s="1"/>
      <c r="D25" s="1"/>
      <c r="E25" s="1"/>
      <c r="F25" s="1"/>
      <c r="G25" s="1"/>
      <c r="H25" s="1"/>
    </row>
    <row r="26" ht="18">
      <c r="A26" s="1"/>
      <c r="B26" s="1"/>
      <c r="C26" s="1"/>
      <c r="D26" s="1"/>
      <c r="E26" s="1"/>
      <c r="F26" s="1"/>
      <c r="G26" s="1"/>
      <c r="H26" s="1"/>
    </row>
    <row r="27" ht="18">
      <c r="A27" s="1"/>
      <c r="B27" s="1"/>
      <c r="C27" s="1"/>
      <c r="D27" s="1"/>
      <c r="E27" s="1"/>
      <c r="F27" s="1"/>
      <c r="G27" s="1"/>
      <c r="H27" s="1"/>
    </row>
    <row r="28" ht="18">
      <c r="A28" s="1"/>
      <c r="B28" s="1"/>
      <c r="C28" s="1"/>
      <c r="D28" s="1"/>
      <c r="E28" s="1"/>
      <c r="F28" s="1"/>
      <c r="G28" s="1"/>
      <c r="H28" s="1"/>
    </row>
  </sheetData>
  <mergeCells count="2">
    <mergeCell ref="E2:H5"/>
    <mergeCell ref="E8:H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FDS</dc:creator>
  <cp:revision>1</cp:revision>
  <dcterms:created xsi:type="dcterms:W3CDTF">2025-09-24T12:53:54Z</dcterms:created>
  <dcterms:modified xsi:type="dcterms:W3CDTF">2025-09-25T15:23:40Z</dcterms:modified>
</cp:coreProperties>
</file>