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RhythmTerminal\model\"/>
    </mc:Choice>
  </mc:AlternateContent>
  <xr:revisionPtr revIDLastSave="0" documentId="13_ncr:1_{3627B200-3D27-4ED1-9293-02E6EAD094BF}" xr6:coauthVersionLast="47" xr6:coauthVersionMax="47" xr10:uidLastSave="{00000000-0000-0000-0000-000000000000}"/>
  <bookViews>
    <workbookView xWindow="6885" yWindow="1935" windowWidth="24855" windowHeight="15345" xr2:uid="{C207EF75-21E2-4EFA-A102-751A252AF1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F6" i="1" s="1"/>
  <c r="H6" i="1" s="1"/>
  <c r="D3" i="1"/>
  <c r="D4" i="1"/>
  <c r="D5" i="1"/>
  <c r="D2" i="1"/>
  <c r="B6" i="1"/>
  <c r="C3" i="1"/>
  <c r="C4" i="1"/>
  <c r="C5" i="1"/>
  <c r="C2" i="1"/>
  <c r="C6" i="1" l="1"/>
</calcChain>
</file>

<file path=xl/sharedStrings.xml><?xml version="1.0" encoding="utf-8"?>
<sst xmlns="http://schemas.openxmlformats.org/spreadsheetml/2006/main" count="15" uniqueCount="15">
  <si>
    <t>长度(mm)</t>
    <phoneticPr fontId="1" type="noConversion"/>
  </si>
  <si>
    <t>数量</t>
    <phoneticPr fontId="1" type="noConversion"/>
  </si>
  <si>
    <t>总长(mm)</t>
    <phoneticPr fontId="1" type="noConversion"/>
  </si>
  <si>
    <t>总计</t>
    <phoneticPr fontId="1" type="noConversion"/>
  </si>
  <si>
    <t>14mm</t>
    <phoneticPr fontId="1" type="noConversion"/>
  </si>
  <si>
    <t>85mm</t>
    <phoneticPr fontId="1" type="noConversion"/>
  </si>
  <si>
    <t>两条140上钻两个m8孔</t>
    <phoneticPr fontId="1" type="noConversion"/>
  </si>
  <si>
    <t>距一端位置：</t>
    <phoneticPr fontId="1" type="noConversion"/>
  </si>
  <si>
    <t>总计（元）</t>
    <phoneticPr fontId="1" type="noConversion"/>
  </si>
  <si>
    <t>单价（元/m）</t>
    <phoneticPr fontId="1" type="noConversion"/>
  </si>
  <si>
    <t>重量(kg)</t>
    <phoneticPr fontId="1" type="noConversion"/>
  </si>
  <si>
    <t>总计-计损耗（元）</t>
    <phoneticPr fontId="1" type="noConversion"/>
  </si>
  <si>
    <t>欧标3030Q-喷砂黑</t>
    <phoneticPr fontId="1" type="noConversion"/>
  </si>
  <si>
    <t>假设损耗</t>
    <phoneticPr fontId="1" type="noConversion"/>
  </si>
  <si>
    <t>N/A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</si>
</sst>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Noto Sans SC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9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42863</xdr:colOff>
      <xdr:row>26</xdr:row>
      <xdr:rowOff>157162</xdr:rowOff>
    </xdr:from>
    <xdr:to>
      <xdr:col>7</xdr:col>
      <xdr:colOff>1187352</xdr:colOff>
      <xdr:row>60</xdr:row>
      <xdr:rowOff>95250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8F34935B-4DFC-D602-53D8-9EE3B9972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3" y="6348412"/>
          <a:ext cx="7454802" cy="6510338"/>
        </a:xfrm>
        <a:prstGeom prst="rect">
          <a:avLst/>
        </a:prstGeom>
      </xdr:spPr>
    </xdr:pic>
    <xdr:clientData/>
  </xdr:twoCellAnchor>
  <xdr:twoCellAnchor>
    <xdr:from>
      <xdr:col>0</xdr:col>
      <xdr:colOff>247650</xdr:colOff>
      <xdr:row>8</xdr:row>
      <xdr:rowOff>76200</xdr:rowOff>
    </xdr:from>
    <xdr:to>
      <xdr:col>5</xdr:col>
      <xdr:colOff>198383</xdr:colOff>
      <xdr:row>26</xdr:row>
      <xdr:rowOff>95250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6C4E17DA-883B-6474-3E04-BBF447C3E544}"/>
            </a:ext>
          </a:extLst>
        </xdr:cNvPr>
        <xdr:cNvGrpSpPr/>
      </xdr:nvGrpSpPr>
      <xdr:grpSpPr>
        <a:xfrm>
          <a:off x="247650" y="1931504"/>
          <a:ext cx="4845755" cy="4193485"/>
          <a:chOff x="247650" y="1931504"/>
          <a:chExt cx="4845755" cy="4193485"/>
        </a:xfrm>
      </xdr:grpSpPr>
      <xdr:pic>
        <xdr:nvPicPr>
          <xdr:cNvPr id="2" name="图片 1">
            <a:extLst>
              <a:ext uri="{FF2B5EF4-FFF2-40B4-BE49-F238E27FC236}">
                <a16:creationId xmlns:a16="http://schemas.microsoft.com/office/drawing/2014/main" id="{25247233-6304-1FC9-405E-57AAFF360C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247650" y="1931504"/>
            <a:ext cx="4845755" cy="4193485"/>
          </a:xfrm>
          <a:prstGeom prst="rect">
            <a:avLst/>
          </a:prstGeom>
        </xdr:spPr>
      </xdr:pic>
      <xdr:sp macro="" textlink="">
        <xdr:nvSpPr>
          <xdr:cNvPr id="4" name="椭圆 3">
            <a:extLst>
              <a:ext uri="{FF2B5EF4-FFF2-40B4-BE49-F238E27FC236}">
                <a16:creationId xmlns:a16="http://schemas.microsoft.com/office/drawing/2014/main" id="{6F9F8663-B934-2483-90B0-337968DBE720}"/>
              </a:ext>
            </a:extLst>
          </xdr:cNvPr>
          <xdr:cNvSpPr/>
        </xdr:nvSpPr>
        <xdr:spPr>
          <a:xfrm>
            <a:off x="1598544" y="3718891"/>
            <a:ext cx="629478" cy="579783"/>
          </a:xfrm>
          <a:prstGeom prst="ellipse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5" name="椭圆 4">
            <a:extLst>
              <a:ext uri="{FF2B5EF4-FFF2-40B4-BE49-F238E27FC236}">
                <a16:creationId xmlns:a16="http://schemas.microsoft.com/office/drawing/2014/main" id="{B84655FA-FCEB-4161-9007-60AD26080924}"/>
              </a:ext>
            </a:extLst>
          </xdr:cNvPr>
          <xdr:cNvSpPr/>
        </xdr:nvSpPr>
        <xdr:spPr>
          <a:xfrm>
            <a:off x="3233531" y="4641574"/>
            <a:ext cx="629478" cy="579783"/>
          </a:xfrm>
          <a:prstGeom prst="ellipse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CA367-F575-4FD2-9D9F-CF31C6142B5B}">
  <dimension ref="A1:H28"/>
  <sheetViews>
    <sheetView tabSelected="1" zoomScale="115" zoomScaleNormal="115" workbookViewId="0">
      <selection activeCell="H16" sqref="H16"/>
    </sheetView>
  </sheetViews>
  <sheetFormatPr defaultRowHeight="14.25" x14ac:dyDescent="0.2"/>
  <cols>
    <col min="1" max="1" width="21.875" customWidth="1"/>
    <col min="2" max="2" width="12" customWidth="1"/>
    <col min="5" max="5" width="12.375" customWidth="1"/>
    <col min="6" max="6" width="9.375" customWidth="1"/>
    <col min="8" max="8" width="16.125" customWidth="1"/>
  </cols>
  <sheetData>
    <row r="1" spans="1:8" ht="18" x14ac:dyDescent="0.2">
      <c r="A1" s="1" t="s">
        <v>0</v>
      </c>
      <c r="B1" s="1" t="s">
        <v>1</v>
      </c>
      <c r="C1" s="1" t="s">
        <v>2</v>
      </c>
      <c r="D1" s="1" t="s">
        <v>10</v>
      </c>
      <c r="E1" s="1" t="s">
        <v>9</v>
      </c>
      <c r="F1" s="1" t="s">
        <v>8</v>
      </c>
      <c r="G1" s="1" t="s">
        <v>13</v>
      </c>
      <c r="H1" s="1" t="s">
        <v>11</v>
      </c>
    </row>
    <row r="2" spans="1:8" ht="18" x14ac:dyDescent="0.2">
      <c r="A2" s="1">
        <v>140</v>
      </c>
      <c r="B2" s="1">
        <v>4</v>
      </c>
      <c r="C2" s="1">
        <f>A2*B2</f>
        <v>560</v>
      </c>
      <c r="D2" s="1">
        <f>C2/1000*0.8</f>
        <v>0.44800000000000006</v>
      </c>
      <c r="E2" s="3" t="s">
        <v>14</v>
      </c>
      <c r="F2" s="3"/>
      <c r="G2" s="3"/>
      <c r="H2" s="3"/>
    </row>
    <row r="3" spans="1:8" ht="18" x14ac:dyDescent="0.2">
      <c r="A3" s="1">
        <v>80</v>
      </c>
      <c r="B3" s="1">
        <v>4</v>
      </c>
      <c r="C3" s="1">
        <f t="shared" ref="C3:C5" si="0">A3*B3</f>
        <v>320</v>
      </c>
      <c r="D3" s="1">
        <f t="shared" ref="D3:D5" si="1">C3/1000*0.8</f>
        <v>0.25600000000000001</v>
      </c>
      <c r="E3" s="3"/>
      <c r="F3" s="3"/>
      <c r="G3" s="3"/>
      <c r="H3" s="3"/>
    </row>
    <row r="4" spans="1:8" ht="18" x14ac:dyDescent="0.2">
      <c r="A4" s="1">
        <v>160</v>
      </c>
      <c r="B4" s="1">
        <v>6</v>
      </c>
      <c r="C4" s="1">
        <f t="shared" si="0"/>
        <v>960</v>
      </c>
      <c r="D4" s="1">
        <f t="shared" si="1"/>
        <v>0.76800000000000002</v>
      </c>
      <c r="E4" s="3"/>
      <c r="F4" s="3"/>
      <c r="G4" s="3"/>
      <c r="H4" s="3"/>
    </row>
    <row r="5" spans="1:8" ht="18" x14ac:dyDescent="0.2">
      <c r="A5" s="1">
        <v>960</v>
      </c>
      <c r="B5" s="1">
        <v>3</v>
      </c>
      <c r="C5" s="1">
        <f t="shared" si="0"/>
        <v>2880</v>
      </c>
      <c r="D5" s="1">
        <f t="shared" si="1"/>
        <v>2.3039999999999998</v>
      </c>
      <c r="E5" s="3"/>
      <c r="F5" s="3"/>
      <c r="G5" s="3"/>
      <c r="H5" s="3"/>
    </row>
    <row r="6" spans="1:8" ht="18" x14ac:dyDescent="0.2">
      <c r="A6" s="1" t="s">
        <v>3</v>
      </c>
      <c r="B6" s="1">
        <f>SUM(B2:B5)</f>
        <v>17</v>
      </c>
      <c r="C6" s="1">
        <f>SUM(C2:C5)</f>
        <v>4720</v>
      </c>
      <c r="D6" s="1">
        <f>C6/1000*0.8</f>
        <v>3.7759999999999998</v>
      </c>
      <c r="E6" s="1">
        <v>19.7</v>
      </c>
      <c r="F6" s="1">
        <f>D6*19.7</f>
        <v>74.387199999999993</v>
      </c>
      <c r="G6" s="2">
        <v>7.0000000000000007E-2</v>
      </c>
      <c r="H6" s="1">
        <f>F6*(1+G6)</f>
        <v>79.594303999999994</v>
      </c>
    </row>
    <row r="7" spans="1:8" ht="18" x14ac:dyDescent="0.2">
      <c r="A7" s="1" t="s">
        <v>12</v>
      </c>
      <c r="B7" s="1"/>
      <c r="C7" s="1"/>
      <c r="D7" s="1"/>
      <c r="E7" s="1"/>
      <c r="F7" s="1"/>
      <c r="G7" s="1"/>
      <c r="H7" s="1"/>
    </row>
    <row r="8" spans="1:8" ht="18" x14ac:dyDescent="0.2">
      <c r="A8" s="1" t="s">
        <v>6</v>
      </c>
      <c r="B8" s="1" t="s">
        <v>7</v>
      </c>
      <c r="C8" s="1" t="s">
        <v>4</v>
      </c>
      <c r="D8" s="1" t="s">
        <v>5</v>
      </c>
      <c r="E8" s="1"/>
      <c r="F8" s="1"/>
      <c r="G8" s="1"/>
      <c r="H8" s="1"/>
    </row>
    <row r="9" spans="1:8" ht="18" x14ac:dyDescent="0.2">
      <c r="A9" s="1"/>
      <c r="B9" s="1"/>
      <c r="C9" s="1"/>
      <c r="D9" s="1"/>
      <c r="E9" s="1"/>
      <c r="F9" s="1"/>
      <c r="G9" s="1"/>
      <c r="H9" s="1"/>
    </row>
    <row r="10" spans="1:8" ht="18" x14ac:dyDescent="0.2">
      <c r="A10" s="1"/>
      <c r="B10" s="1"/>
      <c r="C10" s="1"/>
      <c r="D10" s="1"/>
      <c r="E10" s="1"/>
      <c r="F10" s="1"/>
      <c r="G10" s="1"/>
      <c r="H10" s="1"/>
    </row>
    <row r="11" spans="1:8" ht="18" x14ac:dyDescent="0.2">
      <c r="A11" s="1"/>
      <c r="B11" s="1"/>
      <c r="C11" s="1"/>
      <c r="D11" s="1"/>
      <c r="E11" s="1"/>
      <c r="F11" s="1"/>
      <c r="G11" s="1"/>
      <c r="H11" s="1"/>
    </row>
    <row r="12" spans="1:8" ht="18" x14ac:dyDescent="0.2">
      <c r="A12" s="1"/>
      <c r="B12" s="1"/>
      <c r="C12" s="1"/>
      <c r="D12" s="1"/>
      <c r="E12" s="1"/>
      <c r="F12" s="1"/>
      <c r="G12" s="1"/>
      <c r="H12" s="1"/>
    </row>
    <row r="13" spans="1:8" ht="18" x14ac:dyDescent="0.2">
      <c r="A13" s="1"/>
      <c r="B13" s="1"/>
      <c r="C13" s="1"/>
      <c r="D13" s="1"/>
      <c r="E13" s="1"/>
      <c r="F13" s="1"/>
      <c r="G13" s="1"/>
      <c r="H13" s="1"/>
    </row>
    <row r="14" spans="1:8" ht="18" x14ac:dyDescent="0.2">
      <c r="A14" s="1"/>
      <c r="B14" s="1"/>
      <c r="C14" s="1"/>
      <c r="D14" s="1"/>
      <c r="E14" s="1"/>
      <c r="F14" s="1"/>
      <c r="G14" s="1"/>
      <c r="H14" s="1"/>
    </row>
    <row r="15" spans="1:8" ht="18" x14ac:dyDescent="0.2">
      <c r="A15" s="1"/>
      <c r="B15" s="1"/>
      <c r="C15" s="1"/>
      <c r="D15" s="1"/>
      <c r="E15" s="1"/>
      <c r="F15" s="1"/>
      <c r="G15" s="1"/>
      <c r="H15" s="1"/>
    </row>
    <row r="16" spans="1:8" ht="18" x14ac:dyDescent="0.2">
      <c r="A16" s="1"/>
      <c r="B16" s="1"/>
      <c r="C16" s="1"/>
      <c r="D16" s="1"/>
      <c r="E16" s="1"/>
      <c r="F16" s="1"/>
      <c r="G16" s="1"/>
      <c r="H16" s="1"/>
    </row>
    <row r="17" spans="1:8" ht="18" x14ac:dyDescent="0.2">
      <c r="A17" s="1"/>
      <c r="B17" s="1"/>
      <c r="C17" s="1"/>
      <c r="D17" s="1"/>
      <c r="E17" s="1"/>
      <c r="F17" s="1"/>
      <c r="G17" s="1"/>
      <c r="H17" s="1"/>
    </row>
    <row r="18" spans="1:8" ht="18" x14ac:dyDescent="0.2">
      <c r="A18" s="1"/>
      <c r="B18" s="1"/>
      <c r="C18" s="1"/>
      <c r="D18" s="1"/>
      <c r="E18" s="1"/>
      <c r="F18" s="1"/>
      <c r="G18" s="1"/>
      <c r="H18" s="1"/>
    </row>
    <row r="19" spans="1:8" ht="18" x14ac:dyDescent="0.2">
      <c r="A19" s="1"/>
      <c r="B19" s="1"/>
      <c r="C19" s="1"/>
      <c r="D19" s="1"/>
      <c r="E19" s="1"/>
      <c r="F19" s="1"/>
      <c r="G19" s="1"/>
      <c r="H19" s="1"/>
    </row>
    <row r="20" spans="1:8" ht="18" x14ac:dyDescent="0.2">
      <c r="A20" s="1"/>
      <c r="B20" s="1"/>
      <c r="C20" s="1"/>
      <c r="D20" s="1"/>
      <c r="E20" s="1"/>
      <c r="F20" s="1"/>
      <c r="G20" s="1"/>
      <c r="H20" s="1"/>
    </row>
    <row r="21" spans="1:8" ht="18" x14ac:dyDescent="0.2">
      <c r="A21" s="1"/>
      <c r="B21" s="1"/>
      <c r="C21" s="1"/>
      <c r="D21" s="1"/>
      <c r="E21" s="1"/>
      <c r="F21" s="1"/>
      <c r="G21" s="1"/>
      <c r="H21" s="1"/>
    </row>
    <row r="22" spans="1:8" ht="18" x14ac:dyDescent="0.2">
      <c r="A22" s="1"/>
      <c r="B22" s="1"/>
      <c r="C22" s="1"/>
      <c r="D22" s="1"/>
      <c r="E22" s="1"/>
      <c r="F22" s="1"/>
      <c r="G22" s="1"/>
      <c r="H22" s="1"/>
    </row>
    <row r="23" spans="1:8" ht="18" x14ac:dyDescent="0.2">
      <c r="A23" s="1"/>
      <c r="B23" s="1"/>
      <c r="C23" s="1"/>
      <c r="D23" s="1"/>
      <c r="E23" s="1"/>
      <c r="F23" s="1"/>
      <c r="G23" s="1"/>
      <c r="H23" s="1"/>
    </row>
    <row r="24" spans="1:8" ht="18" x14ac:dyDescent="0.2">
      <c r="A24" s="1"/>
      <c r="B24" s="1"/>
      <c r="C24" s="1"/>
      <c r="D24" s="1"/>
      <c r="E24" s="1"/>
      <c r="F24" s="1"/>
      <c r="G24" s="1"/>
      <c r="H24" s="1"/>
    </row>
    <row r="25" spans="1:8" ht="18" x14ac:dyDescent="0.2">
      <c r="A25" s="1"/>
      <c r="B25" s="1"/>
      <c r="C25" s="1"/>
      <c r="D25" s="1"/>
      <c r="E25" s="1"/>
      <c r="F25" s="1"/>
      <c r="G25" s="1"/>
      <c r="H25" s="1"/>
    </row>
    <row r="26" spans="1:8" ht="18" x14ac:dyDescent="0.2">
      <c r="A26" s="1"/>
      <c r="B26" s="1"/>
      <c r="C26" s="1"/>
      <c r="D26" s="1"/>
      <c r="E26" s="1"/>
      <c r="F26" s="1"/>
      <c r="G26" s="1"/>
      <c r="H26" s="1"/>
    </row>
    <row r="27" spans="1:8" ht="18" x14ac:dyDescent="0.2">
      <c r="A27" s="1"/>
      <c r="B27" s="1"/>
      <c r="C27" s="1"/>
      <c r="D27" s="1"/>
      <c r="E27" s="1"/>
      <c r="F27" s="1"/>
      <c r="G27" s="1"/>
      <c r="H27" s="1"/>
    </row>
    <row r="28" spans="1:8" ht="18" x14ac:dyDescent="0.2">
      <c r="A28" s="1"/>
      <c r="B28" s="1"/>
      <c r="C28" s="1"/>
      <c r="D28" s="1"/>
      <c r="E28" s="1"/>
      <c r="F28" s="1"/>
      <c r="G28" s="1"/>
      <c r="H28" s="1"/>
    </row>
  </sheetData>
  <mergeCells count="1">
    <mergeCell ref="E2:H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FDS</dc:creator>
  <cp:lastModifiedBy>Zhaoping Wang</cp:lastModifiedBy>
  <dcterms:created xsi:type="dcterms:W3CDTF">2025-09-24T12:53:54Z</dcterms:created>
  <dcterms:modified xsi:type="dcterms:W3CDTF">2025-09-25T15:13:24Z</dcterms:modified>
</cp:coreProperties>
</file>